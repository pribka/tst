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4" activeTab="4"/>
  </bookViews>
  <sheets>
    <sheet name="Сводная Австралия 15.01" sheetId="1" state="hidden" r:id="rId2"/>
    <sheet name="Лист2" sheetId="2" state="hidden" r:id="rId3"/>
    <sheet name="анализ" sheetId="3" state="hidden" r:id="rId4"/>
    <sheet name="области" sheetId="4" state="hidden" r:id="rId5"/>
    <sheet name="Формат для МИО" sheetId="5" state="visible" r:id="rId6"/>
  </sheets>
  <definedNames>
    <definedName function="false" hidden="true" localSheetId="1" name="_xlnm._FilterDatabase" vbProcedure="false">Лист2!$A$1:$D$1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<sst xmlns="http://schemas.openxmlformats.org/spreadsheetml/2006/main" count="128" uniqueCount="94">
  <si>
    <t xml:space="preserve">№</t>
  </si>
  <si>
    <t xml:space="preserve">НАПРАВЛЕНИЕ</t>
  </si>
  <si>
    <t xml:space="preserve">КОЛИЧЕСТВО</t>
  </si>
  <si>
    <t xml:space="preserve">МОЩНОСТЬ</t>
  </si>
  <si>
    <t xml:space="preserve">СУММА</t>
  </si>
  <si>
    <t xml:space="preserve">тыс.тонн</t>
  </si>
  <si>
    <t xml:space="preserve">млрд.тенге</t>
  </si>
  <si>
    <t xml:space="preserve">Откормочные площадки</t>
  </si>
  <si>
    <t xml:space="preserve">Переработка мяса</t>
  </si>
  <si>
    <t xml:space="preserve">Орошение</t>
  </si>
  <si>
    <t xml:space="preserve">15,2 га</t>
  </si>
  <si>
    <t xml:space="preserve">Репродукторы</t>
  </si>
  <si>
    <t xml:space="preserve">Скотная Биржа</t>
  </si>
  <si>
    <t xml:space="preserve">5000 КРС
4000 Лошадей
10000 МРС</t>
  </si>
  <si>
    <t xml:space="preserve">Строительство инфраструктуры</t>
  </si>
  <si>
    <t xml:space="preserve">-</t>
  </si>
  <si>
    <t xml:space="preserve">Итого</t>
  </si>
  <si>
    <t xml:space="preserve">Переработка 294 тонн мяса, из них: 
- 170 тыс.тонн КРС - 120 тыс.тонн МРС - 4 тыс.тонн конины 
</t>
  </si>
  <si>
    <t xml:space="preserve">СУММА ФИНАНСИРОВАНИЯ (млрд.тенге)</t>
  </si>
  <si>
    <t xml:space="preserve">Птицеводство</t>
  </si>
  <si>
    <t xml:space="preserve"> МТФ</t>
  </si>
  <si>
    <t xml:space="preserve"> Орошение</t>
  </si>
  <si>
    <t xml:space="preserve">Откормочная площадка </t>
  </si>
  <si>
    <t xml:space="preserve"> Сад</t>
  </si>
  <si>
    <t xml:space="preserve"> Теплица</t>
  </si>
  <si>
    <t xml:space="preserve"> Хранилища</t>
  </si>
  <si>
    <t xml:space="preserve"> Репродуктор</t>
  </si>
  <si>
    <t xml:space="preserve"> 1</t>
  </si>
  <si>
    <t xml:space="preserve"> 0,09</t>
  </si>
  <si>
    <t xml:space="preserve"> Переработка</t>
  </si>
  <si>
    <t xml:space="preserve"> Рыбоводство</t>
  </si>
  <si>
    <t xml:space="preserve">0,05 </t>
  </si>
  <si>
    <t xml:space="preserve"> Животноводство</t>
  </si>
  <si>
    <t xml:space="preserve"> 2</t>
  </si>
  <si>
    <t xml:space="preserve">49,6 </t>
  </si>
  <si>
    <t xml:space="preserve"> Прочие </t>
  </si>
  <si>
    <t xml:space="preserve">0,6 </t>
  </si>
  <si>
    <t xml:space="preserve">ИТОГО</t>
  </si>
  <si>
    <t xml:space="preserve"> № п/п </t>
  </si>
  <si>
    <t xml:space="preserve"> Регион </t>
  </si>
  <si>
    <t xml:space="preserve">Инвестиционные проекты на 2023 г.</t>
  </si>
  <si>
    <t xml:space="preserve">Введенные в 2023 г.</t>
  </si>
  <si>
    <t xml:space="preserve">На стадии реализации</t>
  </si>
  <si>
    <t xml:space="preserve"> Кол-во </t>
  </si>
  <si>
    <t xml:space="preserve"> Сумма, млрд.тг. </t>
  </si>
  <si>
    <t xml:space="preserve">  Кол-во </t>
  </si>
  <si>
    <t xml:space="preserve">Исполнение %</t>
  </si>
  <si>
    <t xml:space="preserve">Абайская область</t>
  </si>
  <si>
    <t xml:space="preserve">Акмолинская область</t>
  </si>
  <si>
    <t xml:space="preserve">Актюбинская область</t>
  </si>
  <si>
    <t xml:space="preserve">Алматинская область</t>
  </si>
  <si>
    <t xml:space="preserve">Атырауская область</t>
  </si>
  <si>
    <t xml:space="preserve">Восточно-Казахстанская области </t>
  </si>
  <si>
    <t xml:space="preserve">г.Шымкент</t>
  </si>
  <si>
    <t xml:space="preserve">Жамбылская область</t>
  </si>
  <si>
    <t xml:space="preserve">Жетысуская область</t>
  </si>
  <si>
    <t xml:space="preserve">Западно-Казахстанская область</t>
  </si>
  <si>
    <t xml:space="preserve">Карагандинская область</t>
  </si>
  <si>
    <t xml:space="preserve"> Костанайская область </t>
  </si>
  <si>
    <t xml:space="preserve">Кызылординская область</t>
  </si>
  <si>
    <t xml:space="preserve">Мангистауская область</t>
  </si>
  <si>
    <t xml:space="preserve">Павлодарская область</t>
  </si>
  <si>
    <t xml:space="preserve">Северо-Казахстанская область</t>
  </si>
  <si>
    <t xml:space="preserve">Туркестанская область</t>
  </si>
  <si>
    <t xml:space="preserve">Улытауская область</t>
  </si>
  <si>
    <t xml:space="preserve">г.Астана</t>
  </si>
  <si>
    <t xml:space="preserve">"СОГЛАСОВАНО"
Министр сельского хозяйства
Республики Казахстан
__________________ А. Сапаров
____________ 20__ год 
</t>
  </si>
  <si>
    <t xml:space="preserve">"УТВЕРЖДАЮ"
аким ________ области 
___________________ К. Аксакалов
_______________ 20__ год</t>
  </si>
  <si>
    <r>
      <rPr>
        <b val="true"/>
        <sz val="28"/>
        <rFont val="Arial"/>
        <family val="2"/>
        <charset val="204"/>
      </rPr>
      <t xml:space="preserve">Дорожная карта </t>
    </r>
    <r>
      <rPr>
        <b val="true"/>
        <sz val="28"/>
        <color rgb="FFFF0000"/>
        <rFont val="Arial"/>
        <family val="2"/>
        <charset val="204"/>
      </rPr>
      <t xml:space="preserve">______ </t>
    </r>
    <r>
      <rPr>
        <b val="true"/>
        <sz val="28"/>
        <rFont val="Arial"/>
        <family val="2"/>
        <charset val="204"/>
      </rPr>
      <t xml:space="preserve">области по реализации инвестпроектов в сфере АПК на 20__-20__ гг.</t>
    </r>
  </si>
  <si>
    <t xml:space="preserve">№ п/п</t>
  </si>
  <si>
    <t xml:space="preserve">Область </t>
  </si>
  <si>
    <t xml:space="preserve">Наименование проекта</t>
  </si>
  <si>
    <t xml:space="preserve">направление проекта</t>
  </si>
  <si>
    <t xml:space="preserve">вид продукции</t>
  </si>
  <si>
    <t xml:space="preserve">Финансовый институт</t>
  </si>
  <si>
    <t xml:space="preserve">Сумма проекта (млн.тенге )</t>
  </si>
  <si>
    <t xml:space="preserve">Проектная мощность в год</t>
  </si>
  <si>
    <t xml:space="preserve">Раб. места</t>
  </si>
  <si>
    <t xml:space="preserve">Срок ввода в эксплуатацию</t>
  </si>
  <si>
    <t xml:space="preserve">ПCД</t>
  </si>
  <si>
    <t xml:space="preserve">Земельный участок (количество гектар)</t>
  </si>
  <si>
    <t xml:space="preserve">Опыт работы</t>
  </si>
  <si>
    <t xml:space="preserve">Текущий статус</t>
  </si>
  <si>
    <t xml:space="preserve">БРК/АКК/ХАЛЫК/ДРУГИЕ</t>
  </si>
  <si>
    <t xml:space="preserve">Общая сумма </t>
  </si>
  <si>
    <t xml:space="preserve">собственные средства</t>
  </si>
  <si>
    <t xml:space="preserve">требуемая сумма</t>
  </si>
  <si>
    <t xml:space="preserve">тонна</t>
  </si>
  <si>
    <t xml:space="preserve">голов</t>
  </si>
  <si>
    <t xml:space="preserve">гектар</t>
  </si>
  <si>
    <t xml:space="preserve">временные</t>
  </si>
  <si>
    <t xml:space="preserve">постоянные</t>
  </si>
  <si>
    <t xml:space="preserve">Месяц</t>
  </si>
  <si>
    <t xml:space="preserve">Год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</si>
</sst>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%"/>
    <numFmt numFmtId="166" formatCode="_-* #,##0.00\ _₸_-;\-* #,##0.00\ _₸_-;_-* \-??\ _₸_-;_-@_-"/>
    <numFmt numFmtId="167" formatCode="_-* #,##0.00\ _₽_-;\-* #,##0.00\ _₽_-;_-* \-??\ _₽_-;_-@_-"/>
    <numFmt numFmtId="168" formatCode="_-* #,##0.00_-;\-* #,##0.00_-;_-* \-??_-;_-@_-"/>
    <numFmt numFmtId="169" formatCode="_-* #,##0.00_р_._-;\-* #,##0.00_р_._-;_-* \-??_р_._-;_-@_-"/>
    <numFmt numFmtId="170" formatCode="General"/>
    <numFmt numFmtId="171" formatCode="0"/>
    <numFmt numFmtId="172" formatCode="#,##0.0"/>
    <numFmt numFmtId="173" formatCode="#,##0.00"/>
    <numFmt numFmtId="174" formatCode="#,##0"/>
    <numFmt numFmtId="175" formatCode="_-* #,##0\ _₽_-;\-* #,##0\ _₽_-;_-* \-??\ _₽_-;_-@_-"/>
    <numFmt numFmtId="176" formatCode="_-* #,##0.0\ _₽_-;\-* #,##0.0\ _₽_-;_-* \-??\ _₽_-;_-@_-"/>
  </numFmts>
  <fonts count="2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04"/>
    </font>
    <font>
      <sz val="11"/>
      <color rgb="FF000000"/>
      <name val="Arial"/>
      <family val="2"/>
      <charset val="204"/>
    </font>
    <font>
      <sz val="10"/>
      <name val="Arial Cyr"/>
      <family val="0"/>
      <charset val="204"/>
    </font>
    <font>
      <sz val="10"/>
      <name val="Arial"/>
      <family val="2"/>
      <charset val="204"/>
    </font>
    <font>
      <sz val="12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sz val="11"/>
      <name val="Calibri"/>
      <family val="2"/>
      <charset val="204"/>
    </font>
    <font>
      <sz val="10"/>
      <name val="Arial"/>
      <family val="0"/>
      <charset val="204"/>
    </font>
    <font>
      <b val="true"/>
      <sz val="20"/>
      <color rgb="FFFFFFFF"/>
      <name val="Arial Narrow"/>
      <family val="2"/>
      <charset val="204"/>
    </font>
    <font>
      <sz val="20"/>
      <color rgb="FF000000"/>
      <name val="Arial Narrow"/>
      <family val="2"/>
      <charset val="204"/>
    </font>
    <font>
      <sz val="20"/>
      <color rgb="FF000000"/>
      <name val="Arial"/>
      <family val="2"/>
      <charset val="204"/>
    </font>
    <font>
      <b val="true"/>
      <sz val="20"/>
      <color rgb="FF000000"/>
      <name val="Arial Narrow"/>
      <family val="2"/>
      <charset val="204"/>
    </font>
    <font>
      <b val="true"/>
      <sz val="18"/>
      <color rgb="FFFFFFFF"/>
      <name val="Arial Narrow"/>
      <family val="2"/>
      <charset val="204"/>
    </font>
    <font>
      <sz val="18"/>
      <color rgb="FF000000"/>
      <name val="Arial Narrow"/>
      <family val="2"/>
      <charset val="204"/>
    </font>
    <font>
      <b val="true"/>
      <sz val="18"/>
      <color rgb="FF000000"/>
      <name val="Arial Narrow"/>
      <family val="2"/>
      <charset val="204"/>
    </font>
    <font>
      <b val="true"/>
      <sz val="11"/>
      <color rgb="FF000000"/>
      <name val="Arial"/>
      <family val="2"/>
      <charset val="204"/>
    </font>
    <font>
      <sz val="11"/>
      <color rgb="FF262626"/>
      <name val="Arial"/>
      <family val="2"/>
      <charset val="204"/>
    </font>
    <font>
      <sz val="11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sz val="12"/>
      <name val="Arial"/>
      <family val="2"/>
      <charset val="204"/>
    </font>
    <font>
      <b val="true"/>
      <sz val="28"/>
      <name val="Arial"/>
      <family val="2"/>
      <charset val="204"/>
    </font>
    <font>
      <b val="true"/>
      <sz val="28"/>
      <color rgb="FFFF0000"/>
      <name val="Arial"/>
      <family val="2"/>
      <charset val="204"/>
    </font>
    <font>
      <b val="true"/>
      <sz val="13"/>
      <name val="Arial"/>
      <family val="2"/>
      <charset val="204"/>
    </font>
    <font>
      <sz val="13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DCDB"/>
        <bgColor rgb="FFDEEBF7"/>
      </patternFill>
    </fill>
    <fill>
      <patternFill patternType="solid">
        <fgColor rgb="FF007A40"/>
        <bgColor rgb="FF008080"/>
      </patternFill>
    </fill>
    <fill>
      <patternFill patternType="solid">
        <fgColor rgb="FFB4975A"/>
        <bgColor rgb="FFA6A6A6"/>
      </patternFill>
    </fill>
    <fill>
      <patternFill patternType="solid">
        <fgColor rgb="FFDEEBF7"/>
        <bgColor rgb="FFF2DCDB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 diagonalUp="false" diagonalDown="false"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 diagonalUp="false" diagonalDown="false"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 diagonalUp="false" diagonalDown="false">
      <left style="medium">
        <color rgb="FFA6A6A6"/>
      </left>
      <right style="medium">
        <color rgb="FFA6A6A6"/>
      </right>
      <top style="thin"/>
      <bottom style="thin"/>
      <diagonal/>
    </border>
    <border diagonalUp="false" diagonalDown="false">
      <left style="medium">
        <color rgb="FFA6A6A6"/>
      </left>
      <right style="thin"/>
      <top style="medium">
        <color rgb="FFA6A6A6"/>
      </top>
      <bottom style="medium">
        <color rgb="FFA6A6A6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>
        <color rgb="FFA6A6A6"/>
      </bottom>
      <diagonal/>
    </border>
    <border diagonalUp="false" diagonalDown="false">
      <left style="medium">
        <color rgb="FFA6A6A6"/>
      </left>
      <right style="medium">
        <color rgb="FFA6A6A6"/>
      </right>
      <top style="thin"/>
      <bottom style="medium">
        <color rgb="FFA6A6A6"/>
      </bottom>
      <diagonal/>
    </border>
    <border diagonalUp="false" diagonalDown="false">
      <left style="medium">
        <color rgb="FFA6A6A6"/>
      </left>
      <right/>
      <top style="thin"/>
      <bottom style="medium">
        <color rgb="FFA6A6A6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</borders>
  <cellStyleXfs count="40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12" fillId="3" borderId="2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12" fillId="3" borderId="3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13" fillId="0" borderId="1" xfId="0" applyFont="true" applyBorder="true" applyAlignment="true" applyProtection="true">
      <alignment horizontal="left" vertical="bottom" textRotation="0" wrapText="true" indent="0" shrinkToFit="false" readingOrder="1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14" fillId="4" borderId="1" xfId="0" applyFont="true" applyBorder="true" applyAlignment="true" applyProtection="true">
      <alignment horizontal="left" vertical="bottom" textRotation="0" wrapText="true" indent="0" shrinkToFit="false" readingOrder="1"/>
      <protection locked="true" hidden="false"/>
    </xf>
    <xf numFmtId="164" fontId="15" fillId="4" borderId="1" xfId="0" applyFont="true" applyBorder="true" applyAlignment="true" applyProtection="true">
      <alignment horizontal="left" vertical="bottom" textRotation="0" wrapText="true" indent="0" shrinkToFit="false" readingOrder="1"/>
      <protection locked="true" hidden="false"/>
    </xf>
    <xf numFmtId="170" fontId="15" fillId="4" borderId="1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6" fillId="3" borderId="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7" fillId="0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1" fontId="17" fillId="0" borderId="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2" fontId="17" fillId="0" borderId="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7" fillId="0" borderId="7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8" fillId="4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1" fontId="18" fillId="4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2" fontId="18" fillId="4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9" fillId="5" borderId="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6" borderId="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5" fillId="6" borderId="6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21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5" fillId="6" borderId="6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4" fontId="19" fillId="5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0" fillId="6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5" fillId="6" borderId="10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73" fontId="5" fillId="6" borderId="10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5" fillId="6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4" fontId="5" fillId="6" borderId="10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20" fillId="7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5" fillId="7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5" fillId="7" borderId="10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5" fillId="6" borderId="10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73" fontId="19" fillId="5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23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1" fontId="23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4" fontId="23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3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5" fontId="24" fillId="6" borderId="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25" fillId="6" borderId="1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25" fillId="6" borderId="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5" fontId="27" fillId="6" borderId="6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27" fillId="6" borderId="6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27" fillId="6" borderId="6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27" fillId="6" borderId="6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6" borderId="6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39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Акцент2 33 3" xfId="20"/>
    <cellStyle name="20% - Акцент2 33 3 2" xfId="21"/>
    <cellStyle name="20% - Акцент2 33 3 2 2" xfId="22"/>
    <cellStyle name="20% - Акцент2 33 3 2 2 2" xfId="23"/>
    <cellStyle name="20% - Акцент2 33 3 2 3" xfId="24"/>
    <cellStyle name="20% - Акцент2 33 3 3" xfId="25"/>
    <cellStyle name="20% - Акцент2 33 3 3 2" xfId="26"/>
    <cellStyle name="20% - Акцент2 33 3 4" xfId="27"/>
    <cellStyle name="Обычный 10" xfId="28"/>
    <cellStyle name="Обычный 10 2" xfId="29"/>
    <cellStyle name="Обычный 10 2 2" xfId="30"/>
    <cellStyle name="Обычный 10 2 2 2" xfId="31"/>
    <cellStyle name="Обычный 10 2 3" xfId="32"/>
    <cellStyle name="Обычный 10 3" xfId="33"/>
    <cellStyle name="Обычный 10 3 2" xfId="34"/>
    <cellStyle name="Обычный 10 4" xfId="35"/>
    <cellStyle name="Обычный 11" xfId="36"/>
    <cellStyle name="Обычный 11 2" xfId="37"/>
    <cellStyle name="Обычный 11 2 2" xfId="38"/>
    <cellStyle name="Обычный 11 2 2 2" xfId="39"/>
    <cellStyle name="Обычный 11 2 3" xfId="40"/>
    <cellStyle name="Обычный 11 3" xfId="41"/>
    <cellStyle name="Обычный 11 3 2" xfId="42"/>
    <cellStyle name="Обычный 11 4" xfId="43"/>
    <cellStyle name="Обычный 12" xfId="44"/>
    <cellStyle name="Обычный 12 2" xfId="45"/>
    <cellStyle name="Обычный 12 2 2" xfId="46"/>
    <cellStyle name="Обычный 12 2 2 2" xfId="47"/>
    <cellStyle name="Обычный 12 2 2 2 2" xfId="48"/>
    <cellStyle name="Обычный 12 2 2 3" xfId="49"/>
    <cellStyle name="Обычный 12 2 2 4" xfId="50"/>
    <cellStyle name="Обычный 12 2 3" xfId="51"/>
    <cellStyle name="Обычный 12 3" xfId="52"/>
    <cellStyle name="Обычный 12 3 2" xfId="53"/>
    <cellStyle name="Обычный 12 3 3" xfId="54"/>
    <cellStyle name="Обычный 12 3 4" xfId="55"/>
    <cellStyle name="Обычный 12 3 4 2" xfId="56"/>
    <cellStyle name="Обычный 12 3 5" xfId="57"/>
    <cellStyle name="Обычный 12 4" xfId="58"/>
    <cellStyle name="Обычный 12 4 2" xfId="59"/>
    <cellStyle name="Обычный 12 4 3" xfId="60"/>
    <cellStyle name="Обычный 12 5" xfId="61"/>
    <cellStyle name="Обычный 12 6" xfId="62"/>
    <cellStyle name="Обычный 12 7" xfId="63"/>
    <cellStyle name="Обычный 12 7 2" xfId="64"/>
    <cellStyle name="Обычный 12 8" xfId="65"/>
    <cellStyle name="Обычный 13" xfId="66"/>
    <cellStyle name="Обычный 13 2" xfId="67"/>
    <cellStyle name="Обычный 13 2 2" xfId="68"/>
    <cellStyle name="Обычный 13 2 2 2" xfId="69"/>
    <cellStyle name="Обычный 13 2 2 2 2" xfId="70"/>
    <cellStyle name="Обычный 13 2 2 3" xfId="71"/>
    <cellStyle name="Обычный 13 2 2 4" xfId="72"/>
    <cellStyle name="Обычный 13 2 2 4 2" xfId="73"/>
    <cellStyle name="Обычный 13 2 2 5" xfId="74"/>
    <cellStyle name="Обычный 13 2 3" xfId="75"/>
    <cellStyle name="Обычный 13 3" xfId="76"/>
    <cellStyle name="Обычный 13 3 2" xfId="77"/>
    <cellStyle name="Обычный 13 3 3" xfId="78"/>
    <cellStyle name="Обычный 13 3 4" xfId="79"/>
    <cellStyle name="Обычный 13 3 4 2" xfId="80"/>
    <cellStyle name="Обычный 13 3 4 3" xfId="81"/>
    <cellStyle name="Обычный 13 4" xfId="82"/>
    <cellStyle name="Обычный 13 4 2" xfId="83"/>
    <cellStyle name="Обычный 13 4 3" xfId="84"/>
    <cellStyle name="Обычный 13 5" xfId="85"/>
    <cellStyle name="Обычный 13 6" xfId="86"/>
    <cellStyle name="Обычный 13 6 2" xfId="87"/>
    <cellStyle name="Обычный 13 7" xfId="88"/>
    <cellStyle name="Обычный 14" xfId="89"/>
    <cellStyle name="Обычный 19" xfId="90"/>
    <cellStyle name="Обычный 19 2" xfId="91"/>
    <cellStyle name="Обычный 19 2 2" xfId="92"/>
    <cellStyle name="Обычный 19 3" xfId="93"/>
    <cellStyle name="Обычный 2" xfId="94"/>
    <cellStyle name="Обычный 2 10" xfId="95"/>
    <cellStyle name="Обычный 2 10 2" xfId="96"/>
    <cellStyle name="Обычный 2 10 2 2" xfId="97"/>
    <cellStyle name="Обычный 2 10 2 2 2" xfId="98"/>
    <cellStyle name="Обычный 2 10 2 3" xfId="99"/>
    <cellStyle name="Обычный 2 10 3" xfId="100"/>
    <cellStyle name="Обычный 2 10 3 2" xfId="101"/>
    <cellStyle name="Обычный 2 10 4" xfId="102"/>
    <cellStyle name="Обычный 2 11" xfId="103"/>
    <cellStyle name="Обычный 2 11 2" xfId="104"/>
    <cellStyle name="Обычный 2 11 2 2" xfId="105"/>
    <cellStyle name="Обычный 2 11 2 2 2" xfId="106"/>
    <cellStyle name="Обычный 2 11 2 3" xfId="107"/>
    <cellStyle name="Обычный 2 11 3" xfId="108"/>
    <cellStyle name="Обычный 2 11 3 2" xfId="109"/>
    <cellStyle name="Обычный 2 11 4" xfId="110"/>
    <cellStyle name="Обычный 2 11 4 2" xfId="111"/>
    <cellStyle name="Обычный 2 11 5" xfId="112"/>
    <cellStyle name="Обычный 2 12" xfId="113"/>
    <cellStyle name="Обычный 2 12 2" xfId="114"/>
    <cellStyle name="Обычный 2 12 2 2" xfId="115"/>
    <cellStyle name="Обычный 2 12 2 2 2" xfId="116"/>
    <cellStyle name="Обычный 2 12 2 3" xfId="117"/>
    <cellStyle name="Обычный 2 12 3" xfId="118"/>
    <cellStyle name="Обычный 2 12 3 2" xfId="119"/>
    <cellStyle name="Обычный 2 12 4" xfId="120"/>
    <cellStyle name="Обычный 2 13" xfId="121"/>
    <cellStyle name="Обычный 2 13 2" xfId="122"/>
    <cellStyle name="Обычный 2 13 2 2" xfId="123"/>
    <cellStyle name="Обычный 2 13 3" xfId="124"/>
    <cellStyle name="Обычный 2 14" xfId="125"/>
    <cellStyle name="Обычный 2 14 2" xfId="126"/>
    <cellStyle name="Обычный 2 15" xfId="127"/>
    <cellStyle name="Обычный 2 2" xfId="128"/>
    <cellStyle name="Обычный 2 2 2" xfId="129"/>
    <cellStyle name="Обычный 2 3" xfId="130"/>
    <cellStyle name="Обычный 2 3 2" xfId="131"/>
    <cellStyle name="Обычный 2 3 2 2" xfId="132"/>
    <cellStyle name="Обычный 2 3 2 3" xfId="133"/>
    <cellStyle name="Обычный 2 3 2 3 2" xfId="134"/>
    <cellStyle name="Обычный 2 3 2 3 2 2" xfId="135"/>
    <cellStyle name="Обычный 2 3 2 3 3" xfId="136"/>
    <cellStyle name="Обычный 2 3 2 4" xfId="137"/>
    <cellStyle name="Обычный 2 3 2 4 2" xfId="138"/>
    <cellStyle name="Обычный 2 3 2 5" xfId="139"/>
    <cellStyle name="Обычный 2 3 3" xfId="140"/>
    <cellStyle name="Обычный 2 3 3 2" xfId="141"/>
    <cellStyle name="Обычный 2 3 3 2 2" xfId="142"/>
    <cellStyle name="Обычный 2 3 3 2 2 2" xfId="143"/>
    <cellStyle name="Обычный 2 3 3 2 3" xfId="144"/>
    <cellStyle name="Обычный 2 3 3 3" xfId="145"/>
    <cellStyle name="Обычный 2 3 3 3 2" xfId="146"/>
    <cellStyle name="Обычный 2 3 3 4" xfId="147"/>
    <cellStyle name="Обычный 2 3 4" xfId="148"/>
    <cellStyle name="Обычный 2 3 4 2" xfId="149"/>
    <cellStyle name="Обычный 2 3 4 2 2" xfId="150"/>
    <cellStyle name="Обычный 2 3 4 2 2 2" xfId="151"/>
    <cellStyle name="Обычный 2 3 4 2 3" xfId="152"/>
    <cellStyle name="Обычный 2 3 4 3" xfId="153"/>
    <cellStyle name="Обычный 2 3 4 3 2" xfId="154"/>
    <cellStyle name="Обычный 2 3 4 4" xfId="155"/>
    <cellStyle name="Обычный 2 3 5" xfId="156"/>
    <cellStyle name="Обычный 2 3 5 2" xfId="157"/>
    <cellStyle name="Обычный 2 3 5 2 2" xfId="158"/>
    <cellStyle name="Обычный 2 3 5 2 2 2" xfId="159"/>
    <cellStyle name="Обычный 2 3 5 2 3" xfId="160"/>
    <cellStyle name="Обычный 2 3 5 3" xfId="161"/>
    <cellStyle name="Обычный 2 3 5 3 2" xfId="162"/>
    <cellStyle name="Обычный 2 3 5 4" xfId="163"/>
    <cellStyle name="Обычный 2 3 6" xfId="164"/>
    <cellStyle name="Обычный 2 3 6 2" xfId="165"/>
    <cellStyle name="Обычный 2 3 6 2 2" xfId="166"/>
    <cellStyle name="Обычный 2 3 6 3" xfId="167"/>
    <cellStyle name="Обычный 2 3 7" xfId="168"/>
    <cellStyle name="Обычный 2 3 7 2" xfId="169"/>
    <cellStyle name="Обычный 2 3 8" xfId="170"/>
    <cellStyle name="Обычный 2 4" xfId="171"/>
    <cellStyle name="Обычный 2 4 2" xfId="172"/>
    <cellStyle name="Обычный 2 4 2 2" xfId="173"/>
    <cellStyle name="Обычный 2 4 2 2 2" xfId="174"/>
    <cellStyle name="Обычный 2 4 2 2 2 2" xfId="175"/>
    <cellStyle name="Обычный 2 4 2 2 3" xfId="176"/>
    <cellStyle name="Обычный 2 4 2 3" xfId="177"/>
    <cellStyle name="Обычный 2 4 2 3 2" xfId="178"/>
    <cellStyle name="Обычный 2 4 2 4" xfId="179"/>
    <cellStyle name="Обычный 2 4 3" xfId="180"/>
    <cellStyle name="Обычный 2 4 3 2" xfId="181"/>
    <cellStyle name="Обычный 2 4 3 2 2" xfId="182"/>
    <cellStyle name="Обычный 2 4 3 3" xfId="183"/>
    <cellStyle name="Обычный 2 4 4" xfId="184"/>
    <cellStyle name="Обычный 2 4 4 2" xfId="185"/>
    <cellStyle name="Обычный 2 4 5" xfId="186"/>
    <cellStyle name="Обычный 2 5" xfId="187"/>
    <cellStyle name="Обычный 2 5 2" xfId="188"/>
    <cellStyle name="Обычный 2 5 2 2" xfId="189"/>
    <cellStyle name="Обычный 2 5 2 2 2" xfId="190"/>
    <cellStyle name="Обычный 2 5 2 3" xfId="191"/>
    <cellStyle name="Обычный 2 5 3" xfId="192"/>
    <cellStyle name="Обычный 2 5 3 2" xfId="193"/>
    <cellStyle name="Обычный 2 5 4" xfId="194"/>
    <cellStyle name="Обычный 2 6" xfId="195"/>
    <cellStyle name="Обычный 2 6 2" xfId="196"/>
    <cellStyle name="Обычный 2 6 2 2" xfId="197"/>
    <cellStyle name="Обычный 2 6 2 2 2" xfId="198"/>
    <cellStyle name="Обычный 2 6 2 3" xfId="199"/>
    <cellStyle name="Обычный 2 6 3" xfId="200"/>
    <cellStyle name="Обычный 2 6 3 2" xfId="201"/>
    <cellStyle name="Обычный 2 6 4" xfId="202"/>
    <cellStyle name="Обычный 2 7" xfId="203"/>
    <cellStyle name="Обычный 2 7 2" xfId="204"/>
    <cellStyle name="Обычный 2 7 2 2" xfId="205"/>
    <cellStyle name="Обычный 2 7 2 2 2" xfId="206"/>
    <cellStyle name="Обычный 2 7 2 3" xfId="207"/>
    <cellStyle name="Обычный 2 7 3" xfId="208"/>
    <cellStyle name="Обычный 2 7 3 2" xfId="209"/>
    <cellStyle name="Обычный 2 7 4" xfId="210"/>
    <cellStyle name="Обычный 2 8" xfId="211"/>
    <cellStyle name="Обычный 2 9" xfId="212"/>
    <cellStyle name="Обычный 2 9 2" xfId="213"/>
    <cellStyle name="Обычный 2 9 2 2" xfId="214"/>
    <cellStyle name="Обычный 2 9 2 2 2" xfId="215"/>
    <cellStyle name="Обычный 2 9 2 3" xfId="216"/>
    <cellStyle name="Обычный 2 9 3" xfId="217"/>
    <cellStyle name="Обычный 2 9 3 2" xfId="218"/>
    <cellStyle name="Обычный 2 9 4" xfId="219"/>
    <cellStyle name="Обычный 27" xfId="220"/>
    <cellStyle name="Обычный 3" xfId="221"/>
    <cellStyle name="Обычный 3 2" xfId="222"/>
    <cellStyle name="Обычный 3 2 2" xfId="223"/>
    <cellStyle name="Обычный 3 2 2 2" xfId="224"/>
    <cellStyle name="Обычный 3 2 2 2 2" xfId="225"/>
    <cellStyle name="Обычный 3 2 2 3" xfId="226"/>
    <cellStyle name="Обычный 3 2 3" xfId="227"/>
    <cellStyle name="Обычный 3 2 3 2" xfId="228"/>
    <cellStyle name="Обычный 3 2 4" xfId="229"/>
    <cellStyle name="Обычный 3 3" xfId="230"/>
    <cellStyle name="Обычный 3 3 2" xfId="231"/>
    <cellStyle name="Обычный 3 3 2 2" xfId="232"/>
    <cellStyle name="Обычный 3 3 2 2 2" xfId="233"/>
    <cellStyle name="Обычный 3 3 2 3" xfId="234"/>
    <cellStyle name="Обычный 3 3 3" xfId="235"/>
    <cellStyle name="Обычный 3 3 3 2" xfId="236"/>
    <cellStyle name="Обычный 3 3 4" xfId="237"/>
    <cellStyle name="Обычный 3 4" xfId="238"/>
    <cellStyle name="Обычный 3 4 2" xfId="239"/>
    <cellStyle name="Обычный 3 4 2 2" xfId="240"/>
    <cellStyle name="Обычный 3 4 2 2 2" xfId="241"/>
    <cellStyle name="Обычный 3 4 2 3" xfId="242"/>
    <cellStyle name="Обычный 3 4 3" xfId="243"/>
    <cellStyle name="Обычный 3 4 3 2" xfId="244"/>
    <cellStyle name="Обычный 3 4 4" xfId="245"/>
    <cellStyle name="Обычный 4" xfId="246"/>
    <cellStyle name="Обычный 4 2" xfId="247"/>
    <cellStyle name="Обычный 4 2 2" xfId="248"/>
    <cellStyle name="Обычный 4 2 2 2" xfId="249"/>
    <cellStyle name="Обычный 4 2 2 2 2" xfId="250"/>
    <cellStyle name="Обычный 4 2 2 3" xfId="251"/>
    <cellStyle name="Обычный 4 2 3" xfId="252"/>
    <cellStyle name="Обычный 4 2 3 2" xfId="253"/>
    <cellStyle name="Обычный 4 2 4" xfId="254"/>
    <cellStyle name="Обычный 4 3" xfId="255"/>
    <cellStyle name="Обычный 4 3 2" xfId="256"/>
    <cellStyle name="Обычный 4 3 2 2" xfId="257"/>
    <cellStyle name="Обычный 4 3 2 2 2" xfId="258"/>
    <cellStyle name="Обычный 4 3 2 3" xfId="259"/>
    <cellStyle name="Обычный 4 3 3" xfId="260"/>
    <cellStyle name="Обычный 4 3 3 2" xfId="261"/>
    <cellStyle name="Обычный 4 3 4" xfId="262"/>
    <cellStyle name="Обычный 4 4" xfId="263"/>
    <cellStyle name="Обычный 4 4 2" xfId="264"/>
    <cellStyle name="Обычный 4 4 2 2" xfId="265"/>
    <cellStyle name="Обычный 4 4 3" xfId="266"/>
    <cellStyle name="Обычный 4 5" xfId="267"/>
    <cellStyle name="Обычный 4 5 2" xfId="268"/>
    <cellStyle name="Обычный 4 6" xfId="269"/>
    <cellStyle name="Обычный 41" xfId="270"/>
    <cellStyle name="Обычный 41 2" xfId="271"/>
    <cellStyle name="Обычный 41 2 2" xfId="272"/>
    <cellStyle name="Обычный 41 2 2 2" xfId="273"/>
    <cellStyle name="Обычный 41 2 3" xfId="274"/>
    <cellStyle name="Обычный 41 3" xfId="275"/>
    <cellStyle name="Обычный 41 3 2" xfId="276"/>
    <cellStyle name="Обычный 41 4" xfId="277"/>
    <cellStyle name="Обычный 48" xfId="278"/>
    <cellStyle name="Обычный 48 2" xfId="279"/>
    <cellStyle name="Обычный 48 2 2" xfId="280"/>
    <cellStyle name="Обычный 48 2 2 2" xfId="281"/>
    <cellStyle name="Обычный 48 2 2 2 2" xfId="282"/>
    <cellStyle name="Обычный 48 2 2 3" xfId="283"/>
    <cellStyle name="Обычный 48 2 3" xfId="284"/>
    <cellStyle name="Обычный 48 2 3 2" xfId="285"/>
    <cellStyle name="Обычный 48 2 4" xfId="286"/>
    <cellStyle name="Обычный 48 3" xfId="287"/>
    <cellStyle name="Обычный 48 3 2" xfId="288"/>
    <cellStyle name="Обычный 48 3 2 2" xfId="289"/>
    <cellStyle name="Обычный 48 3 2 2 2" xfId="290"/>
    <cellStyle name="Обычный 48 3 2 3" xfId="291"/>
    <cellStyle name="Обычный 48 3 3" xfId="292"/>
    <cellStyle name="Обычный 48 3 3 2" xfId="293"/>
    <cellStyle name="Обычный 48 3 4" xfId="294"/>
    <cellStyle name="Обычный 48 4" xfId="295"/>
    <cellStyle name="Обычный 48 4 2" xfId="296"/>
    <cellStyle name="Обычный 48 4 2 2" xfId="297"/>
    <cellStyle name="Обычный 48 4 3" xfId="298"/>
    <cellStyle name="Обычный 48 5" xfId="299"/>
    <cellStyle name="Обычный 48 5 2" xfId="300"/>
    <cellStyle name="Обычный 48 6" xfId="301"/>
    <cellStyle name="Обычный 5" xfId="302"/>
    <cellStyle name="Обычный 5 2" xfId="303"/>
    <cellStyle name="Обычный 5 2 2" xfId="304"/>
    <cellStyle name="Обычный 5 2 2 2" xfId="305"/>
    <cellStyle name="Обычный 5 2 3" xfId="306"/>
    <cellStyle name="Обычный 5 3" xfId="307"/>
    <cellStyle name="Обычный 5 3 2" xfId="308"/>
    <cellStyle name="Обычный 5 4" xfId="309"/>
    <cellStyle name="Обычный 6" xfId="310"/>
    <cellStyle name="Обычный 6 2" xfId="311"/>
    <cellStyle name="Обычный 6 2 2" xfId="312"/>
    <cellStyle name="Обычный 6 2 2 2" xfId="313"/>
    <cellStyle name="Обычный 6 2 2 2 2" xfId="314"/>
    <cellStyle name="Обычный 6 2 2 3" xfId="315"/>
    <cellStyle name="Обычный 6 2 3" xfId="316"/>
    <cellStyle name="Обычный 6 2 3 2" xfId="317"/>
    <cellStyle name="Обычный 6 2 4" xfId="318"/>
    <cellStyle name="Обычный 6 3" xfId="319"/>
    <cellStyle name="Обычный 6 3 2" xfId="320"/>
    <cellStyle name="Обычный 6 3 2 2" xfId="321"/>
    <cellStyle name="Обычный 6 3 2 2 2" xfId="322"/>
    <cellStyle name="Обычный 6 3 2 3" xfId="323"/>
    <cellStyle name="Обычный 6 3 3" xfId="324"/>
    <cellStyle name="Обычный 6 3 3 2" xfId="325"/>
    <cellStyle name="Обычный 6 3 4" xfId="326"/>
    <cellStyle name="Обычный 6 4" xfId="327"/>
    <cellStyle name="Обычный 6 4 2" xfId="328"/>
    <cellStyle name="Обычный 6 4 2 2" xfId="329"/>
    <cellStyle name="Обычный 6 4 2 2 2" xfId="330"/>
    <cellStyle name="Обычный 6 4 2 3" xfId="331"/>
    <cellStyle name="Обычный 6 4 3" xfId="332"/>
    <cellStyle name="Обычный 6 4 3 2" xfId="333"/>
    <cellStyle name="Обычный 6 4 4" xfId="334"/>
    <cellStyle name="Обычный 6 5" xfId="335"/>
    <cellStyle name="Обычный 6 5 2" xfId="336"/>
    <cellStyle name="Обычный 6 5 2 2" xfId="337"/>
    <cellStyle name="Обычный 6 5 2 2 2" xfId="338"/>
    <cellStyle name="Обычный 6 5 2 3" xfId="339"/>
    <cellStyle name="Обычный 6 5 3" xfId="340"/>
    <cellStyle name="Обычный 6 5 3 2" xfId="341"/>
    <cellStyle name="Обычный 6 5 4" xfId="342"/>
    <cellStyle name="Обычный 6 6" xfId="343"/>
    <cellStyle name="Обычный 6 6 2" xfId="344"/>
    <cellStyle name="Обычный 6 6 2 2" xfId="345"/>
    <cellStyle name="Обычный 6 6 3" xfId="346"/>
    <cellStyle name="Обычный 6 7" xfId="347"/>
    <cellStyle name="Обычный 6 7 2" xfId="348"/>
    <cellStyle name="Обычный 6 8" xfId="349"/>
    <cellStyle name="Обычный 7" xfId="350"/>
    <cellStyle name="Обычный 7 2" xfId="351"/>
    <cellStyle name="Обычный 7 2 2" xfId="352"/>
    <cellStyle name="Обычный 7 2 2 2" xfId="353"/>
    <cellStyle name="Обычный 7 2 3" xfId="354"/>
    <cellStyle name="Обычный 7 3" xfId="355"/>
    <cellStyle name="Обычный 7 3 2" xfId="356"/>
    <cellStyle name="Обычный 7 4" xfId="357"/>
    <cellStyle name="Обычный 8" xfId="358"/>
    <cellStyle name="Обычный 8 2" xfId="359"/>
    <cellStyle name="Обычный 8 2 2" xfId="360"/>
    <cellStyle name="Обычный 8 2 2 2" xfId="361"/>
    <cellStyle name="Обычный 8 2 3" xfId="362"/>
    <cellStyle name="Обычный 8 3" xfId="363"/>
    <cellStyle name="Обычный 8 3 2" xfId="364"/>
    <cellStyle name="Обычный 8 4" xfId="365"/>
    <cellStyle name="Обычный 9" xfId="366"/>
    <cellStyle name="Процентный 2" xfId="367"/>
    <cellStyle name="Стиль 1" xfId="368"/>
    <cellStyle name="Финансовый 10" xfId="369"/>
    <cellStyle name="Финансовый 2" xfId="370"/>
    <cellStyle name="Финансовый 2 2" xfId="371"/>
    <cellStyle name="Финансовый 2 3" xfId="372"/>
    <cellStyle name="Финансовый 2 4" xfId="373"/>
    <cellStyle name="Финансовый 2 4 2" xfId="374"/>
    <cellStyle name="Финансовый 2 4 2 2" xfId="375"/>
    <cellStyle name="Финансовый 2 4 2 2 2" xfId="376"/>
    <cellStyle name="Финансовый 2 4 2 3" xfId="377"/>
    <cellStyle name="Финансовый 2 4 3" xfId="378"/>
    <cellStyle name="Финансовый 2 4 3 2" xfId="379"/>
    <cellStyle name="Финансовый 2 4 4" xfId="380"/>
    <cellStyle name="Финансовый 2 5" xfId="381"/>
    <cellStyle name="Финансовый 2 6" xfId="382"/>
    <cellStyle name="Финансовый 3" xfId="383"/>
    <cellStyle name="Финансовый 4" xfId="384"/>
    <cellStyle name="Финансовый 5" xfId="385"/>
    <cellStyle name="Финансовый 5 2" xfId="386"/>
    <cellStyle name="Финансовый 5 2 2" xfId="387"/>
    <cellStyle name="Финансовый 5 2 2 2" xfId="388"/>
    <cellStyle name="Финансовый 5 2 3" xfId="389"/>
    <cellStyle name="Финансовый 5 3" xfId="390"/>
    <cellStyle name="Финансовый 5 3 2" xfId="391"/>
    <cellStyle name="Финансовый 5 4" xfId="392"/>
    <cellStyle name="Финансовый 6" xfId="393"/>
    <cellStyle name="Финансовый 7" xfId="394"/>
    <cellStyle name="Финансовый 7 2" xfId="395"/>
    <cellStyle name="Финансовый 7 2 2" xfId="396"/>
    <cellStyle name="Финансовый 7 2 2 2" xfId="397"/>
    <cellStyle name="Финансовый 7 2 3" xfId="398"/>
    <cellStyle name="Финансовый 7 3" xfId="399"/>
    <cellStyle name="Финансовый 7 3 2" xfId="400"/>
    <cellStyle name="Финансовый 7 4" xfId="401"/>
    <cellStyle name="Финансовый 8" xfId="402"/>
    <cellStyle name="Финансовый 9" xfId="403"/>
  </cellStyles>
  <dxfs count="2">
    <dxf>
      <fill>
        <patternFill patternType="solid">
          <fgColor rgb="FF007A40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40"/>
      <rgbColor rgb="FF000080"/>
      <rgbColor rgb="FF808000"/>
      <rgbColor rgb="FF800080"/>
      <rgbColor rgb="FF008080"/>
      <rgbColor rgb="FFC0C0C0"/>
      <rgbColor rgb="FFB4975A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7" activeCellId="0" sqref="D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1" width="31.42"/>
    <col collapsed="false" customWidth="true" hidden="false" outlineLevel="0" max="4" min="3" style="1" width="29.71"/>
    <col collapsed="false" customWidth="true" hidden="false" outlineLevel="0" max="5" min="5" style="1" width="26.29"/>
  </cols>
  <sheetData>
    <row r="1" customFormat="false" ht="25.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customFormat="false" ht="26.25" hidden="false" customHeight="false" outlineLevel="0" collapsed="false">
      <c r="A2" s="2"/>
      <c r="B2" s="2"/>
      <c r="C2" s="2"/>
      <c r="D2" s="4" t="s">
        <v>5</v>
      </c>
      <c r="E2" s="4" t="s">
        <v>6</v>
      </c>
    </row>
    <row r="3" customFormat="false" ht="51.75" hidden="false" customHeight="false" outlineLevel="0" collapsed="false">
      <c r="A3" s="5" t="n">
        <v>1</v>
      </c>
      <c r="B3" s="6" t="s">
        <v>7</v>
      </c>
      <c r="C3" s="5" t="n">
        <v>7</v>
      </c>
      <c r="D3" s="5" t="n">
        <v>90</v>
      </c>
      <c r="E3" s="5" t="n">
        <v>44.5</v>
      </c>
    </row>
    <row r="4" customFormat="false" ht="26.25" hidden="false" customHeight="false" outlineLevel="0" collapsed="false">
      <c r="A4" s="5" t="n">
        <v>2</v>
      </c>
      <c r="B4" s="6" t="s">
        <v>8</v>
      </c>
      <c r="C4" s="5" t="n">
        <v>4</v>
      </c>
      <c r="D4" s="5" t="n">
        <v>100</v>
      </c>
      <c r="E4" s="5" t="n">
        <v>12.8</v>
      </c>
    </row>
    <row r="5" customFormat="false" ht="26.25" hidden="false" customHeight="false" outlineLevel="0" collapsed="false">
      <c r="A5" s="5" t="n">
        <v>3</v>
      </c>
      <c r="B5" s="6" t="s">
        <v>9</v>
      </c>
      <c r="C5" s="5" t="n">
        <v>4</v>
      </c>
      <c r="D5" s="5" t="s">
        <v>10</v>
      </c>
      <c r="E5" s="5" t="n">
        <v>11.2</v>
      </c>
    </row>
    <row r="6" customFormat="false" ht="26.25" hidden="false" customHeight="false" outlineLevel="0" collapsed="false">
      <c r="A6" s="5" t="n">
        <v>4</v>
      </c>
      <c r="B6" s="6" t="s">
        <v>11</v>
      </c>
      <c r="C6" s="5" t="n">
        <v>3</v>
      </c>
      <c r="D6" s="5" t="n">
        <v>185.4</v>
      </c>
      <c r="E6" s="5" t="n">
        <v>4</v>
      </c>
    </row>
    <row r="7" customFormat="false" ht="77.25" hidden="false" customHeight="false" outlineLevel="0" collapsed="false">
      <c r="A7" s="7" t="n">
        <v>5</v>
      </c>
      <c r="B7" s="8" t="s">
        <v>12</v>
      </c>
      <c r="C7" s="7" t="n">
        <v>1</v>
      </c>
      <c r="D7" s="7" t="s">
        <v>13</v>
      </c>
      <c r="E7" s="7" t="n">
        <v>4</v>
      </c>
    </row>
    <row r="8" customFormat="false" ht="51.75" hidden="false" customHeight="false" outlineLevel="0" collapsed="false">
      <c r="A8" s="5" t="n">
        <v>6</v>
      </c>
      <c r="B8" s="6" t="s">
        <v>14</v>
      </c>
      <c r="C8" s="5" t="n">
        <v>1</v>
      </c>
      <c r="D8" s="5" t="s">
        <v>15</v>
      </c>
      <c r="E8" s="5" t="n">
        <v>2</v>
      </c>
    </row>
    <row r="9" customFormat="false" ht="26.25" hidden="false" customHeight="false" outlineLevel="0" collapsed="false">
      <c r="A9" s="9"/>
      <c r="B9" s="10" t="s">
        <v>16</v>
      </c>
      <c r="C9" s="11" t="n">
        <f aca="false">SUM(C3:C8)</f>
        <v>20</v>
      </c>
      <c r="D9" s="11" t="n">
        <f aca="false">SUM(D3:D8)</f>
        <v>375.4</v>
      </c>
      <c r="E9" s="11" t="n">
        <f aca="false">SUM(E3:E8)</f>
        <v>78.5</v>
      </c>
    </row>
    <row r="11" customFormat="false" ht="90" hidden="false" customHeight="false" outlineLevel="0" collapsed="false">
      <c r="D11" s="12" t="s">
        <v>17</v>
      </c>
    </row>
  </sheetData>
  <mergeCells count="3">
    <mergeCell ref="A1:A2"/>
    <mergeCell ref="B1:B2"/>
    <mergeCell ref="C1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J10" activeCellId="0" sqref="J10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6.29"/>
    <col collapsed="false" customWidth="true" hidden="false" outlineLevel="0" max="3" min="3" style="1" width="30.85"/>
    <col collapsed="false" customWidth="true" hidden="false" outlineLevel="0" max="4" min="4" style="1" width="33.57"/>
  </cols>
  <sheetData>
    <row r="1" customFormat="false" ht="70.5" hidden="false" customHeight="false" outlineLevel="0" collapsed="false">
      <c r="A1" s="13" t="s">
        <v>0</v>
      </c>
      <c r="B1" s="14" t="s">
        <v>1</v>
      </c>
      <c r="C1" s="14" t="s">
        <v>2</v>
      </c>
      <c r="D1" s="14" t="s">
        <v>18</v>
      </c>
    </row>
    <row r="2" customFormat="false" ht="24" hidden="false" customHeight="false" outlineLevel="0" collapsed="false">
      <c r="A2" s="15" t="n">
        <v>1</v>
      </c>
      <c r="B2" s="16" t="s">
        <v>19</v>
      </c>
      <c r="C2" s="17" t="n">
        <v>11</v>
      </c>
      <c r="D2" s="18" t="n">
        <v>100.7</v>
      </c>
    </row>
    <row r="3" customFormat="false" ht="24" hidden="false" customHeight="false" outlineLevel="0" collapsed="false">
      <c r="A3" s="15" t="n">
        <v>2</v>
      </c>
      <c r="B3" s="16" t="s">
        <v>20</v>
      </c>
      <c r="C3" s="17" t="n">
        <v>34</v>
      </c>
      <c r="D3" s="18" t="n">
        <v>71.7</v>
      </c>
    </row>
    <row r="4" customFormat="false" ht="24" hidden="false" customHeight="false" outlineLevel="0" collapsed="false">
      <c r="A4" s="15" t="n">
        <v>3</v>
      </c>
      <c r="B4" s="16" t="s">
        <v>21</v>
      </c>
      <c r="C4" s="17" t="n">
        <v>40</v>
      </c>
      <c r="D4" s="18" t="n">
        <v>36.2</v>
      </c>
    </row>
    <row r="5" customFormat="false" ht="47.25" hidden="false" customHeight="false" outlineLevel="0" collapsed="false">
      <c r="A5" s="15" t="n">
        <v>4</v>
      </c>
      <c r="B5" s="16" t="s">
        <v>22</v>
      </c>
      <c r="C5" s="17" t="n">
        <v>7</v>
      </c>
      <c r="D5" s="18" t="n">
        <v>4.4</v>
      </c>
    </row>
    <row r="6" customFormat="false" ht="24" hidden="false" customHeight="false" outlineLevel="0" collapsed="false">
      <c r="A6" s="15" t="n">
        <v>5</v>
      </c>
      <c r="B6" s="16" t="s">
        <v>23</v>
      </c>
      <c r="C6" s="17" t="n">
        <v>4</v>
      </c>
      <c r="D6" s="18" t="n">
        <v>39.3</v>
      </c>
    </row>
    <row r="7" customFormat="false" ht="24" hidden="false" customHeight="false" outlineLevel="0" collapsed="false">
      <c r="A7" s="15" t="n">
        <v>6</v>
      </c>
      <c r="B7" s="16" t="s">
        <v>24</v>
      </c>
      <c r="C7" s="17" t="n">
        <v>2</v>
      </c>
      <c r="D7" s="18" t="n">
        <v>3</v>
      </c>
    </row>
    <row r="8" customFormat="false" ht="24" hidden="false" customHeight="false" outlineLevel="0" collapsed="false">
      <c r="A8" s="15" t="n">
        <v>7</v>
      </c>
      <c r="B8" s="16" t="s">
        <v>25</v>
      </c>
      <c r="C8" s="17" t="n">
        <v>34</v>
      </c>
      <c r="D8" s="18" t="n">
        <v>55.2</v>
      </c>
    </row>
    <row r="9" customFormat="false" ht="24" hidden="false" customHeight="false" outlineLevel="0" collapsed="false">
      <c r="A9" s="15" t="n">
        <v>8</v>
      </c>
      <c r="B9" s="16" t="s">
        <v>26</v>
      </c>
      <c r="C9" s="17" t="s">
        <v>27</v>
      </c>
      <c r="D9" s="18" t="s">
        <v>28</v>
      </c>
    </row>
    <row r="10" customFormat="false" ht="24" hidden="false" customHeight="false" outlineLevel="0" collapsed="false">
      <c r="A10" s="15" t="n">
        <v>9</v>
      </c>
      <c r="B10" s="16" t="s">
        <v>29</v>
      </c>
      <c r="C10" s="17" t="n">
        <v>41</v>
      </c>
      <c r="D10" s="18" t="n">
        <v>150.6</v>
      </c>
    </row>
    <row r="11" customFormat="false" ht="24" hidden="false" customHeight="false" outlineLevel="0" collapsed="false">
      <c r="A11" s="15" t="n">
        <v>10</v>
      </c>
      <c r="B11" s="16" t="s">
        <v>30</v>
      </c>
      <c r="C11" s="17" t="s">
        <v>27</v>
      </c>
      <c r="D11" s="18" t="s">
        <v>31</v>
      </c>
    </row>
    <row r="12" customFormat="false" ht="24" hidden="false" customHeight="false" outlineLevel="0" collapsed="false">
      <c r="A12" s="15" t="n">
        <v>11</v>
      </c>
      <c r="B12" s="16" t="s">
        <v>32</v>
      </c>
      <c r="C12" s="17" t="s">
        <v>33</v>
      </c>
      <c r="D12" s="18" t="s">
        <v>34</v>
      </c>
    </row>
    <row r="13" customFormat="false" ht="24" hidden="false" customHeight="false" outlineLevel="0" collapsed="false">
      <c r="A13" s="15" t="n">
        <v>12</v>
      </c>
      <c r="B13" s="19" t="s">
        <v>35</v>
      </c>
      <c r="C13" s="17" t="s">
        <v>33</v>
      </c>
      <c r="D13" s="18" t="s">
        <v>36</v>
      </c>
    </row>
    <row r="14" customFormat="false" ht="24" hidden="false" customHeight="false" outlineLevel="0" collapsed="false">
      <c r="A14" s="20"/>
      <c r="B14" s="20" t="s">
        <v>37</v>
      </c>
      <c r="C14" s="21" t="n">
        <v>179</v>
      </c>
      <c r="D14" s="22" t="n">
        <v>511.4</v>
      </c>
    </row>
  </sheetData>
  <autoFilter ref="A1:D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6:L27"/>
  <sheetViews>
    <sheetView showFormulas="false" showGridLines="true" showRowColHeaders="true" showZeros="true" rightToLeft="false" tabSelected="false" showOutlineSymbols="true" defaultGridColor="true" view="normal" topLeftCell="A4" colorId="64" zoomScale="65" zoomScaleNormal="65" zoomScalePageLayoutView="100" workbookViewId="0">
      <selection pane="topLeft" activeCell="F13" activeCellId="0" sqref="F1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true" outlineLevel="0" max="2" min="2" style="1" width="1.14"/>
    <col collapsed="false" customWidth="true" hidden="false" outlineLevel="0" max="3" min="3" style="1" width="27.86"/>
    <col collapsed="false" customWidth="true" hidden="false" outlineLevel="0" max="5" min="5" style="1" width="40.57"/>
    <col collapsed="false" customWidth="true" hidden="false" outlineLevel="0" max="6" min="6" style="1" width="13.15"/>
    <col collapsed="false" customWidth="true" hidden="false" outlineLevel="0" max="7" min="7" style="1" width="15.85"/>
    <col collapsed="false" customWidth="true" hidden="false" outlineLevel="0" max="8" min="8" style="1" width="12.15"/>
    <col collapsed="false" customWidth="true" hidden="false" outlineLevel="0" max="9" min="9" style="1" width="11.71"/>
    <col collapsed="false" customWidth="true" hidden="false" outlineLevel="0" max="10" min="10" style="1" width="15.29"/>
    <col collapsed="false" customWidth="true" hidden="true" outlineLevel="0" max="11" min="11" style="1" width="12.42"/>
    <col collapsed="false" customWidth="true" hidden="true" outlineLevel="0" max="12" min="12" style="1" width="15.14"/>
  </cols>
  <sheetData>
    <row r="6" customFormat="false" ht="47.25" hidden="false" customHeight="true" outlineLevel="0" collapsed="false">
      <c r="D6" s="23" t="s">
        <v>38</v>
      </c>
      <c r="E6" s="23" t="s">
        <v>39</v>
      </c>
      <c r="F6" s="23" t="s">
        <v>40</v>
      </c>
      <c r="G6" s="23"/>
      <c r="H6" s="23" t="s">
        <v>41</v>
      </c>
      <c r="I6" s="23"/>
      <c r="J6" s="23"/>
      <c r="K6" s="23" t="s">
        <v>42</v>
      </c>
      <c r="L6" s="23"/>
    </row>
    <row r="7" customFormat="false" ht="44.25" hidden="false" customHeight="true" outlineLevel="0" collapsed="false">
      <c r="C7" s="24"/>
      <c r="D7" s="23"/>
      <c r="E7" s="23"/>
      <c r="F7" s="23" t="s">
        <v>43</v>
      </c>
      <c r="G7" s="23" t="s">
        <v>44</v>
      </c>
      <c r="H7" s="23" t="s">
        <v>45</v>
      </c>
      <c r="I7" s="23" t="s">
        <v>44</v>
      </c>
      <c r="J7" s="23" t="s">
        <v>46</v>
      </c>
      <c r="K7" s="23" t="s">
        <v>43</v>
      </c>
      <c r="L7" s="23" t="s">
        <v>44</v>
      </c>
    </row>
    <row r="8" customFormat="false" ht="15" hidden="false" customHeight="false" outlineLevel="0" collapsed="false">
      <c r="C8" s="24"/>
      <c r="D8" s="25" t="n">
        <v>1</v>
      </c>
      <c r="E8" s="26" t="s">
        <v>47</v>
      </c>
      <c r="F8" s="26" t="n">
        <v>9</v>
      </c>
      <c r="G8" s="26" t="n">
        <v>26.8</v>
      </c>
      <c r="H8" s="27" t="n">
        <v>5</v>
      </c>
      <c r="I8" s="27" t="n">
        <v>5.4</v>
      </c>
      <c r="J8" s="28" t="n">
        <v>55.5</v>
      </c>
      <c r="K8" s="28" t="n">
        <v>4</v>
      </c>
      <c r="L8" s="28" t="n">
        <v>21.4</v>
      </c>
    </row>
    <row r="9" customFormat="false" ht="15" hidden="false" customHeight="false" outlineLevel="0" collapsed="false">
      <c r="C9" s="24"/>
      <c r="D9" s="28" t="n">
        <v>2</v>
      </c>
      <c r="E9" s="28" t="s">
        <v>48</v>
      </c>
      <c r="F9" s="26" t="n">
        <v>28</v>
      </c>
      <c r="G9" s="26" t="n">
        <v>56.3</v>
      </c>
      <c r="H9" s="27" t="n">
        <v>16</v>
      </c>
      <c r="I9" s="27" t="n">
        <v>26.7</v>
      </c>
      <c r="J9" s="28" t="n">
        <v>57.1</v>
      </c>
      <c r="K9" s="28" t="n">
        <v>12</v>
      </c>
      <c r="L9" s="28" t="n">
        <v>29.5</v>
      </c>
    </row>
    <row r="10" customFormat="false" ht="15" hidden="false" customHeight="false" outlineLevel="0" collapsed="false">
      <c r="C10" s="24"/>
      <c r="D10" s="28" t="n">
        <v>3</v>
      </c>
      <c r="E10" s="28" t="s">
        <v>49</v>
      </c>
      <c r="F10" s="26" t="n">
        <v>22</v>
      </c>
      <c r="G10" s="26" t="n">
        <v>9.8</v>
      </c>
      <c r="H10" s="27" t="n">
        <v>14</v>
      </c>
      <c r="I10" s="27" t="n">
        <v>7.5</v>
      </c>
      <c r="J10" s="28" t="n">
        <v>63.6</v>
      </c>
      <c r="K10" s="28" t="n">
        <v>8</v>
      </c>
      <c r="L10" s="28" t="n">
        <v>2.3</v>
      </c>
    </row>
    <row r="11" customFormat="false" ht="15" hidden="false" customHeight="false" outlineLevel="0" collapsed="false">
      <c r="C11" s="24"/>
      <c r="D11" s="28" t="n">
        <v>4</v>
      </c>
      <c r="E11" s="28" t="s">
        <v>50</v>
      </c>
      <c r="F11" s="26" t="n">
        <v>13</v>
      </c>
      <c r="G11" s="26" t="n">
        <v>49.2</v>
      </c>
      <c r="H11" s="27" t="n">
        <v>2</v>
      </c>
      <c r="I11" s="27" t="n">
        <v>33.6</v>
      </c>
      <c r="J11" s="28" t="n">
        <v>15.4</v>
      </c>
      <c r="K11" s="28" t="n">
        <v>11</v>
      </c>
      <c r="L11" s="28" t="n">
        <v>15.6</v>
      </c>
    </row>
    <row r="12" customFormat="false" ht="15" hidden="false" customHeight="false" outlineLevel="0" collapsed="false">
      <c r="C12" s="24"/>
      <c r="D12" s="25" t="n">
        <v>5</v>
      </c>
      <c r="E12" s="28" t="s">
        <v>51</v>
      </c>
      <c r="F12" s="26" t="n">
        <v>2</v>
      </c>
      <c r="G12" s="26" t="n">
        <v>0.3</v>
      </c>
      <c r="H12" s="27" t="n">
        <v>0</v>
      </c>
      <c r="I12" s="27" t="n">
        <v>0</v>
      </c>
      <c r="J12" s="28" t="n">
        <v>0</v>
      </c>
      <c r="K12" s="28" t="n">
        <v>2</v>
      </c>
      <c r="L12" s="28" t="n">
        <v>0.3</v>
      </c>
    </row>
    <row r="13" customFormat="false" ht="15" hidden="false" customHeight="false" outlineLevel="0" collapsed="false">
      <c r="C13" s="24"/>
      <c r="D13" s="25" t="n">
        <v>6</v>
      </c>
      <c r="E13" s="28" t="s">
        <v>52</v>
      </c>
      <c r="F13" s="26" t="n">
        <v>17</v>
      </c>
      <c r="G13" s="26" t="n">
        <v>52.7</v>
      </c>
      <c r="H13" s="27" t="n">
        <v>14</v>
      </c>
      <c r="I13" s="27" t="n">
        <v>34.9</v>
      </c>
      <c r="J13" s="28" t="n">
        <v>82.3</v>
      </c>
      <c r="K13" s="28" t="n">
        <v>3</v>
      </c>
      <c r="L13" s="28" t="n">
        <v>17.8</v>
      </c>
    </row>
    <row r="14" customFormat="false" ht="15" hidden="false" customHeight="false" outlineLevel="0" collapsed="false">
      <c r="C14" s="24"/>
      <c r="D14" s="25" t="n">
        <v>7</v>
      </c>
      <c r="E14" s="28" t="s">
        <v>53</v>
      </c>
      <c r="F14" s="26" t="n">
        <v>16</v>
      </c>
      <c r="G14" s="26" t="n">
        <v>13</v>
      </c>
      <c r="H14" s="27" t="n">
        <v>11</v>
      </c>
      <c r="I14" s="27" t="n">
        <v>4.5</v>
      </c>
      <c r="J14" s="28" t="n">
        <v>68.7</v>
      </c>
      <c r="K14" s="28" t="n">
        <v>5</v>
      </c>
      <c r="L14" s="28" t="n">
        <v>8.5</v>
      </c>
    </row>
    <row r="15" customFormat="false" ht="15" hidden="false" customHeight="false" outlineLevel="0" collapsed="false">
      <c r="C15" s="24"/>
      <c r="D15" s="28" t="n">
        <v>8</v>
      </c>
      <c r="E15" s="28" t="s">
        <v>54</v>
      </c>
      <c r="F15" s="26" t="n">
        <v>7</v>
      </c>
      <c r="G15" s="26" t="n">
        <v>8.6</v>
      </c>
      <c r="H15" s="27" t="n">
        <v>3</v>
      </c>
      <c r="I15" s="27" t="n">
        <v>4.3</v>
      </c>
      <c r="J15" s="28" t="n">
        <v>42.8</v>
      </c>
      <c r="K15" s="28" t="n">
        <v>4</v>
      </c>
      <c r="L15" s="28" t="n">
        <v>4.3</v>
      </c>
    </row>
    <row r="16" customFormat="false" ht="15" hidden="false" customHeight="false" outlineLevel="0" collapsed="false">
      <c r="C16" s="24"/>
      <c r="D16" s="28" t="n">
        <v>9</v>
      </c>
      <c r="E16" s="28" t="s">
        <v>55</v>
      </c>
      <c r="F16" s="26" t="n">
        <v>8</v>
      </c>
      <c r="G16" s="26" t="n">
        <v>1.8</v>
      </c>
      <c r="H16" s="27" t="n">
        <v>4</v>
      </c>
      <c r="I16" s="27" t="n">
        <v>1.3</v>
      </c>
      <c r="J16" s="28" t="n">
        <v>50</v>
      </c>
      <c r="K16" s="28" t="n">
        <v>4</v>
      </c>
      <c r="L16" s="28" t="n">
        <v>0.4</v>
      </c>
    </row>
    <row r="17" customFormat="false" ht="15" hidden="false" customHeight="false" outlineLevel="0" collapsed="false">
      <c r="C17" s="24"/>
      <c r="D17" s="28" t="n">
        <v>10</v>
      </c>
      <c r="E17" s="28" t="s">
        <v>56</v>
      </c>
      <c r="F17" s="26" t="n">
        <v>15</v>
      </c>
      <c r="G17" s="26" t="n">
        <v>6.1</v>
      </c>
      <c r="H17" s="27" t="n">
        <v>13</v>
      </c>
      <c r="I17" s="27" t="n">
        <v>4.6</v>
      </c>
      <c r="J17" s="28" t="n">
        <v>86.7</v>
      </c>
      <c r="K17" s="28" t="n">
        <v>9</v>
      </c>
      <c r="L17" s="28" t="n">
        <v>5.4</v>
      </c>
    </row>
    <row r="18" customFormat="false" ht="15" hidden="false" customHeight="false" outlineLevel="0" collapsed="false">
      <c r="C18" s="24"/>
      <c r="D18" s="28" t="n">
        <v>11</v>
      </c>
      <c r="E18" s="28" t="s">
        <v>57</v>
      </c>
      <c r="F18" s="26" t="n">
        <v>26</v>
      </c>
      <c r="G18" s="26" t="n">
        <v>11.6</v>
      </c>
      <c r="H18" s="27" t="n">
        <v>24</v>
      </c>
      <c r="I18" s="27" t="n">
        <v>8.8</v>
      </c>
      <c r="J18" s="28" t="n">
        <v>92.3</v>
      </c>
      <c r="K18" s="28" t="n">
        <v>8</v>
      </c>
      <c r="L18" s="28" t="n">
        <v>4.8</v>
      </c>
    </row>
    <row r="19" customFormat="false" ht="15" hidden="false" customHeight="false" outlineLevel="0" collapsed="false">
      <c r="C19" s="24"/>
      <c r="D19" s="28" t="n">
        <v>12</v>
      </c>
      <c r="E19" s="29" t="s">
        <v>58</v>
      </c>
      <c r="F19" s="26" t="n">
        <v>72</v>
      </c>
      <c r="G19" s="26" t="n">
        <v>28.5</v>
      </c>
      <c r="H19" s="27" t="n">
        <v>58</v>
      </c>
      <c r="I19" s="27" t="n">
        <v>13.9</v>
      </c>
      <c r="J19" s="28" t="n">
        <v>80.5</v>
      </c>
      <c r="K19" s="28" t="n">
        <v>48</v>
      </c>
      <c r="L19" s="28" t="n">
        <v>19.8</v>
      </c>
    </row>
    <row r="20" customFormat="false" ht="15" hidden="false" customHeight="false" outlineLevel="0" collapsed="false">
      <c r="C20" s="24"/>
      <c r="D20" s="28" t="n">
        <v>13</v>
      </c>
      <c r="E20" s="28" t="s">
        <v>59</v>
      </c>
      <c r="F20" s="26" t="n">
        <v>11</v>
      </c>
      <c r="G20" s="26" t="n">
        <v>7.9</v>
      </c>
      <c r="H20" s="27" t="n">
        <v>4</v>
      </c>
      <c r="I20" s="27" t="n">
        <v>1.3</v>
      </c>
      <c r="J20" s="28" t="n">
        <v>36.3</v>
      </c>
      <c r="K20" s="28" t="n">
        <v>7</v>
      </c>
      <c r="L20" s="28" t="n">
        <v>6.6</v>
      </c>
    </row>
    <row r="21" customFormat="false" ht="15" hidden="false" customHeight="false" outlineLevel="0" collapsed="false">
      <c r="C21" s="24"/>
      <c r="D21" s="28" t="n">
        <v>14</v>
      </c>
      <c r="E21" s="28" t="s">
        <v>60</v>
      </c>
      <c r="F21" s="26" t="n">
        <v>4</v>
      </c>
      <c r="G21" s="26" t="n">
        <v>1</v>
      </c>
      <c r="H21" s="27" t="n">
        <v>4</v>
      </c>
      <c r="I21" s="27" t="n">
        <v>1</v>
      </c>
      <c r="J21" s="28" t="n">
        <v>100</v>
      </c>
      <c r="K21" s="28" t="n">
        <v>0</v>
      </c>
      <c r="L21" s="28" t="n">
        <v>0</v>
      </c>
    </row>
    <row r="22" customFormat="false" ht="15" hidden="false" customHeight="false" outlineLevel="0" collapsed="false">
      <c r="C22" s="24"/>
      <c r="D22" s="25" t="n">
        <v>15</v>
      </c>
      <c r="E22" s="28" t="s">
        <v>61</v>
      </c>
      <c r="F22" s="26" t="n">
        <v>7</v>
      </c>
      <c r="G22" s="26" t="n">
        <v>3.7</v>
      </c>
      <c r="H22" s="27" t="n">
        <v>5</v>
      </c>
      <c r="I22" s="27" t="n">
        <v>2.8</v>
      </c>
      <c r="J22" s="28" t="n">
        <v>71.4</v>
      </c>
      <c r="K22" s="28" t="n">
        <v>2</v>
      </c>
      <c r="L22" s="28" t="n">
        <v>0.9</v>
      </c>
    </row>
    <row r="23" customFormat="false" ht="15" hidden="false" customHeight="false" outlineLevel="0" collapsed="false">
      <c r="C23" s="24"/>
      <c r="D23" s="25" t="n">
        <v>16</v>
      </c>
      <c r="E23" s="28" t="s">
        <v>62</v>
      </c>
      <c r="F23" s="26" t="n">
        <v>24</v>
      </c>
      <c r="G23" s="26" t="n">
        <v>64</v>
      </c>
      <c r="H23" s="27" t="n">
        <v>11</v>
      </c>
      <c r="I23" s="27" t="n">
        <v>4.4</v>
      </c>
      <c r="J23" s="28" t="n">
        <v>45.8</v>
      </c>
      <c r="K23" s="28" t="n">
        <v>13</v>
      </c>
      <c r="L23" s="28" t="n">
        <v>59.6</v>
      </c>
    </row>
    <row r="24" customFormat="false" ht="15" hidden="false" customHeight="false" outlineLevel="0" collapsed="false">
      <c r="C24" s="24"/>
      <c r="D24" s="25" t="n">
        <v>17</v>
      </c>
      <c r="E24" s="28" t="s">
        <v>63</v>
      </c>
      <c r="F24" s="26" t="n">
        <v>25</v>
      </c>
      <c r="G24" s="26" t="n">
        <v>16.8</v>
      </c>
      <c r="H24" s="27" t="n">
        <v>16</v>
      </c>
      <c r="I24" s="27" t="n">
        <v>9.9</v>
      </c>
      <c r="J24" s="28" t="n">
        <v>64</v>
      </c>
      <c r="K24" s="28" t="n">
        <v>9</v>
      </c>
      <c r="L24" s="28" t="n">
        <v>7</v>
      </c>
    </row>
    <row r="25" customFormat="false" ht="15" hidden="false" customHeight="false" outlineLevel="0" collapsed="false">
      <c r="C25" s="24"/>
      <c r="D25" s="25" t="n">
        <v>18</v>
      </c>
      <c r="E25" s="28" t="s">
        <v>64</v>
      </c>
      <c r="F25" s="26" t="n">
        <v>4</v>
      </c>
      <c r="G25" s="26" t="n">
        <v>0.7</v>
      </c>
      <c r="H25" s="27" t="n">
        <v>4</v>
      </c>
      <c r="I25" s="27" t="n">
        <v>1.4</v>
      </c>
      <c r="J25" s="28" t="n">
        <v>100</v>
      </c>
      <c r="K25" s="28" t="n">
        <v>0</v>
      </c>
      <c r="L25" s="28" t="n">
        <v>0</v>
      </c>
    </row>
    <row r="26" customFormat="false" ht="15" hidden="false" customHeight="false" outlineLevel="0" collapsed="false">
      <c r="C26" s="24"/>
      <c r="D26" s="28" t="n">
        <v>19</v>
      </c>
      <c r="E26" s="28" t="s">
        <v>65</v>
      </c>
      <c r="F26" s="26" t="n">
        <v>1</v>
      </c>
      <c r="G26" s="26" t="n">
        <v>1.6</v>
      </c>
      <c r="H26" s="27" t="n">
        <v>0</v>
      </c>
      <c r="I26" s="27" t="n">
        <v>0</v>
      </c>
      <c r="J26" s="28" t="n">
        <v>0</v>
      </c>
      <c r="K26" s="28" t="n">
        <v>1</v>
      </c>
      <c r="L26" s="28" t="n">
        <v>1.6</v>
      </c>
    </row>
    <row r="27" customFormat="false" ht="24" hidden="false" customHeight="true" outlineLevel="0" collapsed="false">
      <c r="C27" s="24"/>
      <c r="D27" s="23"/>
      <c r="E27" s="23" t="s">
        <v>37</v>
      </c>
      <c r="F27" s="23" t="n">
        <v>311</v>
      </c>
      <c r="G27" s="23" t="n">
        <v>361.5</v>
      </c>
      <c r="H27" s="23" t="n">
        <f aca="false">SUM(H8:H26)</f>
        <v>208</v>
      </c>
      <c r="I27" s="23" t="n">
        <f aca="false">SUM(I8:I26)</f>
        <v>166.3</v>
      </c>
      <c r="J27" s="23" t="n">
        <v>51.8</v>
      </c>
      <c r="K27" s="23" t="n">
        <v>150</v>
      </c>
      <c r="L27" s="23" t="n">
        <v>205.4</v>
      </c>
    </row>
  </sheetData>
  <mergeCells count="5">
    <mergeCell ref="D6:D7"/>
    <mergeCell ref="E6:E7"/>
    <mergeCell ref="F6:G6"/>
    <mergeCell ref="H6:J6"/>
    <mergeCell ref="K6:L6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7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5:G27"/>
  <sheetViews>
    <sheetView showFormulas="false" showGridLines="true" showRowColHeaders="true" showZeros="true" rightToLeft="false" tabSelected="false" showOutlineSymbols="true" defaultGridColor="true" view="normal" topLeftCell="A4" colorId="64" zoomScale="65" zoomScaleNormal="65" zoomScalePageLayoutView="100" workbookViewId="0">
      <selection pane="topLeft" activeCell="E18" activeCellId="0" sqref="E18"/>
    </sheetView>
  </sheetViews>
  <sheetFormatPr defaultColWidth="8.6796875" defaultRowHeight="15" zeroHeight="false" outlineLevelRow="0" outlineLevelCol="0"/>
  <cols>
    <col collapsed="false" customWidth="true" hidden="false" outlineLevel="0" max="5" min="5" style="1" width="40.57"/>
    <col collapsed="false" customWidth="true" hidden="false" outlineLevel="0" max="6" min="6" style="1" width="13.15"/>
    <col collapsed="false" customWidth="true" hidden="false" outlineLevel="0" max="7" min="7" style="1" width="15.85"/>
  </cols>
  <sheetData>
    <row r="5" customFormat="false" ht="15.75" hidden="false" customHeight="false" outlineLevel="0" collapsed="false"/>
    <row r="6" customFormat="false" ht="47.25" hidden="false" customHeight="true" outlineLevel="0" collapsed="false">
      <c r="D6" s="30" t="s">
        <v>38</v>
      </c>
      <c r="E6" s="30" t="s">
        <v>39</v>
      </c>
      <c r="F6" s="30" t="s">
        <v>40</v>
      </c>
      <c r="G6" s="30"/>
    </row>
    <row r="7" customFormat="false" ht="44.25" hidden="false" customHeight="true" outlineLevel="0" collapsed="false">
      <c r="D7" s="30"/>
      <c r="E7" s="30"/>
      <c r="F7" s="30" t="s">
        <v>43</v>
      </c>
      <c r="G7" s="30" t="s">
        <v>44</v>
      </c>
    </row>
    <row r="8" customFormat="false" ht="15.75" hidden="false" customHeight="false" outlineLevel="0" collapsed="false">
      <c r="D8" s="31" t="n">
        <v>1</v>
      </c>
      <c r="E8" s="32" t="s">
        <v>47</v>
      </c>
      <c r="F8" s="32" t="n">
        <v>16</v>
      </c>
      <c r="G8" s="33" t="n">
        <v>37974.4</v>
      </c>
    </row>
    <row r="9" customFormat="false" ht="15.75" hidden="false" customHeight="false" outlineLevel="0" collapsed="false">
      <c r="D9" s="34" t="n">
        <v>2</v>
      </c>
      <c r="E9" s="34" t="s">
        <v>48</v>
      </c>
      <c r="F9" s="32" t="n">
        <v>4</v>
      </c>
      <c r="G9" s="35" t="n">
        <v>156547</v>
      </c>
    </row>
    <row r="10" customFormat="false" ht="15.75" hidden="false" customHeight="false" outlineLevel="0" collapsed="false">
      <c r="D10" s="34" t="n">
        <v>3</v>
      </c>
      <c r="E10" s="34" t="s">
        <v>49</v>
      </c>
      <c r="F10" s="32" t="n">
        <v>8</v>
      </c>
      <c r="G10" s="35" t="n">
        <v>80881</v>
      </c>
    </row>
    <row r="11" customFormat="false" ht="15.75" hidden="false" customHeight="false" outlineLevel="0" collapsed="false">
      <c r="D11" s="34" t="n">
        <v>4</v>
      </c>
      <c r="E11" s="34" t="s">
        <v>50</v>
      </c>
      <c r="F11" s="32" t="n">
        <v>14</v>
      </c>
      <c r="G11" s="32" t="n">
        <v>39180</v>
      </c>
    </row>
    <row r="12" customFormat="false" ht="15.75" hidden="false" customHeight="false" outlineLevel="0" collapsed="false">
      <c r="D12" s="36" t="n">
        <v>5</v>
      </c>
      <c r="E12" s="37" t="s">
        <v>51</v>
      </c>
      <c r="F12" s="38" t="n">
        <v>10</v>
      </c>
      <c r="G12" s="38" t="n">
        <v>15710</v>
      </c>
    </row>
    <row r="13" customFormat="false" ht="15.75" hidden="false" customHeight="false" outlineLevel="0" collapsed="false">
      <c r="D13" s="31" t="n">
        <v>6</v>
      </c>
      <c r="E13" s="34" t="s">
        <v>52</v>
      </c>
      <c r="F13" s="32" t="n">
        <v>24</v>
      </c>
      <c r="G13" s="35" t="n">
        <v>55345</v>
      </c>
    </row>
    <row r="14" customFormat="false" ht="15.75" hidden="false" customHeight="false" outlineLevel="0" collapsed="false">
      <c r="D14" s="31" t="n">
        <v>7</v>
      </c>
      <c r="E14" s="34" t="s">
        <v>53</v>
      </c>
      <c r="F14" s="32"/>
      <c r="G14" s="32"/>
    </row>
    <row r="15" customFormat="false" ht="15.75" hidden="false" customHeight="false" outlineLevel="0" collapsed="false">
      <c r="D15" s="34" t="n">
        <v>8</v>
      </c>
      <c r="E15" s="34" t="s">
        <v>54</v>
      </c>
      <c r="F15" s="32" t="n">
        <v>5</v>
      </c>
      <c r="G15" s="35" t="n">
        <v>30000</v>
      </c>
    </row>
    <row r="16" customFormat="false" ht="15.75" hidden="false" customHeight="false" outlineLevel="0" collapsed="false">
      <c r="D16" s="34" t="n">
        <v>9</v>
      </c>
      <c r="E16" s="34" t="s">
        <v>55</v>
      </c>
      <c r="F16" s="32" t="n">
        <v>15</v>
      </c>
      <c r="G16" s="35" t="n">
        <v>25203</v>
      </c>
    </row>
    <row r="17" customFormat="false" ht="15.75" hidden="false" customHeight="false" outlineLevel="0" collapsed="false">
      <c r="D17" s="34" t="n">
        <v>10</v>
      </c>
      <c r="E17" s="34" t="s">
        <v>56</v>
      </c>
      <c r="F17" s="32" t="n">
        <v>19</v>
      </c>
      <c r="G17" s="35" t="n">
        <v>53523</v>
      </c>
    </row>
    <row r="18" customFormat="false" ht="15.75" hidden="false" customHeight="false" outlineLevel="0" collapsed="false">
      <c r="D18" s="34" t="n">
        <v>11</v>
      </c>
      <c r="E18" s="34" t="s">
        <v>57</v>
      </c>
      <c r="F18" s="32" t="n">
        <v>23</v>
      </c>
      <c r="G18" s="35" t="n">
        <v>62639</v>
      </c>
    </row>
    <row r="19" customFormat="false" ht="15.75" hidden="false" customHeight="false" outlineLevel="0" collapsed="false">
      <c r="D19" s="34" t="n">
        <v>12</v>
      </c>
      <c r="E19" s="39" t="s">
        <v>58</v>
      </c>
      <c r="F19" s="32" t="n">
        <v>23</v>
      </c>
      <c r="G19" s="35" t="n">
        <v>38401</v>
      </c>
    </row>
    <row r="20" customFormat="false" ht="15.75" hidden="false" customHeight="false" outlineLevel="0" collapsed="false">
      <c r="D20" s="34" t="n">
        <v>13</v>
      </c>
      <c r="E20" s="34" t="s">
        <v>59</v>
      </c>
      <c r="F20" s="32" t="n">
        <v>8</v>
      </c>
      <c r="G20" s="32" t="n">
        <v>16055</v>
      </c>
    </row>
    <row r="21" customFormat="false" ht="15.75" hidden="false" customHeight="false" outlineLevel="0" collapsed="false">
      <c r="D21" s="34" t="n">
        <v>14</v>
      </c>
      <c r="E21" s="34" t="s">
        <v>60</v>
      </c>
      <c r="F21" s="32" t="n">
        <v>3</v>
      </c>
      <c r="G21" s="32" t="n">
        <v>2300</v>
      </c>
    </row>
    <row r="22" customFormat="false" ht="15.75" hidden="false" customHeight="false" outlineLevel="0" collapsed="false">
      <c r="D22" s="31" t="n">
        <v>15</v>
      </c>
      <c r="E22" s="34" t="s">
        <v>61</v>
      </c>
      <c r="F22" s="32" t="n">
        <v>27</v>
      </c>
      <c r="G22" s="35" t="n">
        <v>22706</v>
      </c>
    </row>
    <row r="23" customFormat="false" ht="15.75" hidden="false" customHeight="false" outlineLevel="0" collapsed="false">
      <c r="D23" s="31" t="n">
        <v>16</v>
      </c>
      <c r="E23" s="34" t="s">
        <v>62</v>
      </c>
      <c r="F23" s="32" t="n">
        <v>28</v>
      </c>
      <c r="G23" s="35" t="n">
        <v>23580</v>
      </c>
    </row>
    <row r="24" customFormat="false" ht="15.75" hidden="false" customHeight="false" outlineLevel="0" collapsed="false">
      <c r="D24" s="31" t="n">
        <v>17</v>
      </c>
      <c r="E24" s="34" t="s">
        <v>63</v>
      </c>
      <c r="F24" s="32"/>
      <c r="G24" s="32"/>
    </row>
    <row r="25" customFormat="false" ht="15.75" hidden="false" customHeight="false" outlineLevel="0" collapsed="false">
      <c r="D25" s="31" t="n">
        <v>18</v>
      </c>
      <c r="E25" s="34" t="s">
        <v>64</v>
      </c>
      <c r="F25" s="32" t="n">
        <v>6</v>
      </c>
      <c r="G25" s="35" t="n">
        <v>6255</v>
      </c>
    </row>
    <row r="26" customFormat="false" ht="15.75" hidden="false" customHeight="false" outlineLevel="0" collapsed="false">
      <c r="D26" s="34" t="n">
        <v>19</v>
      </c>
      <c r="E26" s="34" t="s">
        <v>65</v>
      </c>
      <c r="F26" s="32" t="n">
        <v>4</v>
      </c>
      <c r="G26" s="35" t="n">
        <v>2400</v>
      </c>
    </row>
    <row r="27" customFormat="false" ht="24" hidden="false" customHeight="true" outlineLevel="0" collapsed="false">
      <c r="D27" s="30"/>
      <c r="E27" s="30" t="s">
        <v>37</v>
      </c>
      <c r="F27" s="30" t="n">
        <f aca="false">SUM(F8:F26)</f>
        <v>237</v>
      </c>
      <c r="G27" s="40" t="n">
        <f aca="false">SUM(G8:G26)</f>
        <v>668699.4</v>
      </c>
    </row>
  </sheetData>
  <mergeCells count="3">
    <mergeCell ref="D6:D7"/>
    <mergeCell ref="E6:E7"/>
    <mergeCell ref="F6:G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2" activeCellId="0" sqref="A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.42"/>
    <col collapsed="false" customWidth="true" hidden="false" outlineLevel="0" max="2" min="2" style="1" width="19.86"/>
    <col collapsed="false" customWidth="true" hidden="false" outlineLevel="0" max="3" min="3" style="1" width="24.57"/>
    <col collapsed="false" customWidth="true" hidden="false" outlineLevel="0" max="4" min="4" style="1" width="24.14"/>
    <col collapsed="false" customWidth="true" hidden="false" outlineLevel="0" max="5" min="5" style="1" width="23.14"/>
    <col collapsed="false" customWidth="true" hidden="false" outlineLevel="0" max="6" min="6" style="1" width="19.86"/>
    <col collapsed="false" customWidth="true" hidden="false" outlineLevel="0" max="8" min="7" style="1" width="15.29"/>
    <col collapsed="false" customWidth="true" hidden="false" outlineLevel="0" max="9" min="9" style="1" width="16.71"/>
    <col collapsed="false" customWidth="true" hidden="false" outlineLevel="0" max="11" min="10" style="1" width="9.71"/>
    <col collapsed="false" customWidth="true" hidden="false" outlineLevel="0" max="12" min="12" style="1" width="9.29"/>
    <col collapsed="false" customWidth="true" hidden="false" outlineLevel="0" max="13" min="13" style="1" width="10.42"/>
    <col collapsed="false" customWidth="true" hidden="false" outlineLevel="0" max="14" min="14" style="1" width="11"/>
    <col collapsed="false" customWidth="true" hidden="false" outlineLevel="0" max="15" min="15" style="1" width="9.27"/>
    <col collapsed="false" customWidth="true" hidden="false" outlineLevel="0" max="16" min="16" style="1" width="9.29"/>
    <col collapsed="false" customWidth="true" hidden="false" outlineLevel="0" max="17" min="17" style="1" width="13.86"/>
    <col collapsed="false" customWidth="true" hidden="false" outlineLevel="0" max="18" min="18" style="1" width="15"/>
    <col collapsed="false" customWidth="true" hidden="false" outlineLevel="0" max="19" min="19" style="1" width="13.86"/>
    <col collapsed="false" customWidth="true" hidden="false" outlineLevel="0" max="20" min="20" style="1" width="46.57"/>
  </cols>
  <sheetData>
    <row r="2" s="41" customFormat="true" ht="67.5" hidden="false" customHeight="true" outlineLevel="0" collapsed="false">
      <c r="B2" s="42" t="s">
        <v>66</v>
      </c>
      <c r="C2" s="42"/>
      <c r="D2" s="42"/>
      <c r="E2" s="42"/>
      <c r="F2" s="42"/>
      <c r="G2" s="43"/>
      <c r="H2" s="44"/>
      <c r="I2" s="44"/>
      <c r="J2" s="44"/>
      <c r="K2" s="44"/>
      <c r="L2" s="45"/>
      <c r="M2" s="45"/>
      <c r="N2" s="45"/>
      <c r="O2" s="45"/>
      <c r="P2" s="45"/>
      <c r="Q2" s="46" t="s">
        <v>67</v>
      </c>
      <c r="R2" s="46"/>
      <c r="S2" s="46"/>
      <c r="T2" s="46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="41" customFormat="true" ht="67.5" hidden="false" customHeight="true" outlineLevel="0" collapsed="false">
      <c r="B3" s="42"/>
      <c r="C3" s="42"/>
      <c r="D3" s="42"/>
      <c r="E3" s="42"/>
      <c r="F3" s="42"/>
      <c r="G3" s="43"/>
      <c r="H3" s="44"/>
      <c r="I3" s="44"/>
      <c r="J3" s="44"/>
      <c r="K3" s="44"/>
      <c r="L3" s="45"/>
      <c r="M3" s="45"/>
      <c r="N3" s="45"/>
      <c r="O3" s="45"/>
      <c r="P3" s="45"/>
      <c r="Q3" s="46"/>
      <c r="R3" s="46"/>
      <c r="S3" s="46"/>
      <c r="T3" s="46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</row>
    <row r="7" customFormat="false" ht="15" hidden="false" customHeight="true" outlineLevel="0" collapsed="false">
      <c r="A7" s="48"/>
      <c r="B7" s="48"/>
      <c r="C7" s="48"/>
      <c r="D7" s="49" t="s">
        <v>68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</row>
    <row r="8" customFormat="false" ht="15" hidden="false" customHeight="false" outlineLevel="0" collapsed="false">
      <c r="A8" s="48"/>
      <c r="B8" s="48"/>
      <c r="C8" s="48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</row>
    <row r="9" customFormat="false" ht="35.25" hidden="false" customHeight="false" outlineLevel="0" collapsed="false">
      <c r="A9" s="48"/>
      <c r="B9" s="48"/>
      <c r="C9" s="48"/>
      <c r="D9" s="50"/>
      <c r="E9" s="50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50"/>
      <c r="T9" s="50"/>
    </row>
    <row r="10" s="56" customFormat="true" ht="33" hidden="false" customHeight="true" outlineLevel="0" collapsed="false">
      <c r="A10" s="51" t="s">
        <v>69</v>
      </c>
      <c r="B10" s="51" t="s">
        <v>70</v>
      </c>
      <c r="C10" s="51" t="s">
        <v>71</v>
      </c>
      <c r="D10" s="52" t="s">
        <v>72</v>
      </c>
      <c r="E10" s="52" t="s">
        <v>73</v>
      </c>
      <c r="F10" s="52" t="s">
        <v>74</v>
      </c>
      <c r="G10" s="53" t="s">
        <v>75</v>
      </c>
      <c r="H10" s="53"/>
      <c r="I10" s="53"/>
      <c r="J10" s="53" t="s">
        <v>76</v>
      </c>
      <c r="K10" s="53"/>
      <c r="L10" s="53"/>
      <c r="M10" s="54" t="s">
        <v>77</v>
      </c>
      <c r="N10" s="54"/>
      <c r="O10" s="52" t="s">
        <v>78</v>
      </c>
      <c r="P10" s="52"/>
      <c r="Q10" s="55" t="s">
        <v>79</v>
      </c>
      <c r="R10" s="52" t="s">
        <v>80</v>
      </c>
      <c r="S10" s="51" t="s">
        <v>81</v>
      </c>
      <c r="T10" s="52" t="s">
        <v>82</v>
      </c>
    </row>
    <row r="11" s="56" customFormat="true" ht="53.55" hidden="false" customHeight="true" outlineLevel="0" collapsed="false">
      <c r="A11" s="51"/>
      <c r="B11" s="51"/>
      <c r="C11" s="51"/>
      <c r="D11" s="52"/>
      <c r="E11" s="52"/>
      <c r="F11" s="52" t="s">
        <v>83</v>
      </c>
      <c r="G11" s="53" t="s">
        <v>84</v>
      </c>
      <c r="H11" s="53" t="s">
        <v>85</v>
      </c>
      <c r="I11" s="53" t="s">
        <v>86</v>
      </c>
      <c r="J11" s="53" t="s">
        <v>87</v>
      </c>
      <c r="K11" s="53" t="s">
        <v>88</v>
      </c>
      <c r="L11" s="53" t="s">
        <v>89</v>
      </c>
      <c r="M11" s="54" t="s">
        <v>90</v>
      </c>
      <c r="N11" s="54" t="s">
        <v>91</v>
      </c>
      <c r="O11" s="52" t="s">
        <v>92</v>
      </c>
      <c r="P11" s="55" t="s">
        <v>93</v>
      </c>
      <c r="Q11" s="55"/>
      <c r="R11" s="52"/>
      <c r="S11" s="51"/>
      <c r="T11" s="52"/>
    </row>
    <row r="12" s="56" customFormat="true" ht="17.25" hidden="false" customHeight="false" outlineLevel="0" collapsed="false"/>
    <row r="13" s="56" customFormat="true" ht="17.25" hidden="false" customHeight="false" outlineLevel="0" collapsed="false"/>
    <row r="14" s="56" customFormat="true" ht="17.25" hidden="false" customHeight="false" outlineLevel="0" collapsed="false"/>
    <row r="15" s="56" customFormat="true" ht="17.25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6">
    <mergeCell ref="B2:F3"/>
    <mergeCell ref="Q2:T3"/>
    <mergeCell ref="D7:T8"/>
    <mergeCell ref="A10:A11"/>
    <mergeCell ref="B10:B11"/>
    <mergeCell ref="C10:C11"/>
    <mergeCell ref="D10:D11"/>
    <mergeCell ref="E10:E11"/>
    <mergeCell ref="G10:I10"/>
    <mergeCell ref="J10:L10"/>
    <mergeCell ref="M10:N10"/>
    <mergeCell ref="O10:P10"/>
    <mergeCell ref="Q10:Q11"/>
    <mergeCell ref="R10:R11"/>
    <mergeCell ref="S10:S11"/>
    <mergeCell ref="T10:T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LibreOffice/7.5.6.2$Linux_X86_64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2024-02-12T10:37:05Z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